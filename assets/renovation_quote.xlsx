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ogkar\AppData\Roaming\Claude\local-agent-mode-sessions\0ae6ec4c-4972-4050-8683-fdd835b3166a\a3b9f0a9-023c-4f3f-b85b-6ffbaa1f8c2c\local_d0c61eeb-486e-45d9-9110-c1d82a02d073\outputs\"/>
    </mc:Choice>
  </mc:AlternateContent>
  <xr:revisionPtr revIDLastSave="0" documentId="11_B503F5A5A0C41E95B77A1BB222BEC1B56F0E0499" xr6:coauthVersionLast="47" xr6:coauthVersionMax="47" xr10:uidLastSave="{00000000-0000-0000-0000-000000000000}"/>
  <bookViews>
    <workbookView xWindow="38280" yWindow="-240" windowWidth="38640" windowHeight="21120" tabRatio="500" xr2:uid="{00000000-000D-0000-FFFF-FFFF00000000}"/>
  </bookViews>
  <sheets>
    <sheet name="Renovation Quo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1" l="1"/>
  <c r="I18" i="1"/>
  <c r="I21" i="1" s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<sst xmlns="http://schemas.openxmlformats.org/spreadsheetml/2006/main" count="96" uniqueCount="60">
  <si>
    <t>CONTRACTOR'S RENOVATION QUOTE</t>
  </si>
  <si>
    <t>Hotel Renovation Project  ·  Remediation Works  ·  Task 2 Data</t>
  </si>
  <si>
    <t>Room
Number</t>
  </si>
  <si>
    <t>Room Name
(English)</t>
  </si>
  <si>
    <t>Room Name
(Chinese)</t>
  </si>
  <si>
    <t>Work Type</t>
  </si>
  <si>
    <t>Job Description</t>
  </si>
  <si>
    <t>Contractor
Qty</t>
  </si>
  <si>
    <t>Unit</t>
  </si>
  <si>
    <t>Unit Price
(CNY)</t>
  </si>
  <si>
    <t>Contractor
Total (CNY)</t>
  </si>
  <si>
    <t>Inspector
Approved Qty</t>
  </si>
  <si>
    <t>Notes</t>
  </si>
  <si>
    <t>Small Dining Room</t>
  </si>
  <si>
    <t>小餐厅</t>
  </si>
  <si>
    <t>Floor repair</t>
  </si>
  <si>
    <t>Ceramic floor tile replacement</t>
  </si>
  <si>
    <t>m²</t>
  </si>
  <si>
    <t>⚠ Approved qty: 40</t>
  </si>
  <si>
    <t>Wall finish</t>
  </si>
  <si>
    <t>Interior wall paint</t>
  </si>
  <si>
    <t>Drainage</t>
  </si>
  <si>
    <t>Drainage channel repair (lump sum)</t>
  </si>
  <si>
    <t>item</t>
  </si>
  <si>
    <t>Kitchen</t>
  </si>
  <si>
    <t>厨房</t>
  </si>
  <si>
    <t>Waterproofing</t>
  </si>
  <si>
    <t>Polyurethane waterproofing membrane</t>
  </si>
  <si>
    <t>⚠ Approved qty: 48</t>
  </si>
  <si>
    <t>Cement floor screed</t>
  </si>
  <si>
    <t>Wall repair</t>
  </si>
  <si>
    <t>Cement render to lower wall zones</t>
  </si>
  <si>
    <t>⚠ Approved qty: 24</t>
  </si>
  <si>
    <t>MEP works</t>
  </si>
  <si>
    <t>Gas pipe rerouting (lump sum)</t>
  </si>
  <si>
    <t>Salon</t>
  </si>
  <si>
    <t>理发室</t>
  </si>
  <si>
    <t>Electrical</t>
  </si>
  <si>
    <t>First-fix electrical rewire (lump sum)</t>
  </si>
  <si>
    <t>Cable</t>
  </si>
  <si>
    <t>Cable tray replacement</t>
  </si>
  <si>
    <t>⚠ Approved qty: 22</t>
  </si>
  <si>
    <t>Ceiling repair</t>
  </si>
  <si>
    <t>Plasterboard ceiling void closure</t>
  </si>
  <si>
    <t>Compliance</t>
  </si>
  <si>
    <t>Re-inspection fee (lump sum)</t>
  </si>
  <si>
    <t>Main Entrance</t>
  </si>
  <si>
    <t>入口</t>
  </si>
  <si>
    <t>Structural</t>
  </si>
  <si>
    <t>Epoxy crack injection (lump sum)</t>
  </si>
  <si>
    <t>Concrete repair</t>
  </si>
  <si>
    <t>Concrete beam soffit render</t>
  </si>
  <si>
    <t>⚠ Approved qty: 12</t>
  </si>
  <si>
    <t>Temp. works</t>
  </si>
  <si>
    <t>Temporary propping removal (lump sum)</t>
  </si>
  <si>
    <t>Additional</t>
  </si>
  <si>
    <t>Structural vibration monitoring system</t>
  </si>
  <si>
    <t>⚠ NOT in approved scope</t>
  </si>
  <si>
    <t>CONTRACTOR'S TOTAL</t>
  </si>
  <si>
    <t>⚠  Rows highlighted in red: contractor quantity exceeds inspector-approved quantity, or work is not in approved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</si>
</sst>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6"/>
      <color rgb="FFC9A84C"/>
      <name val="Arial"/>
      <family val="2"/>
    </font>
    <font>
      <i/>
      <sz val="10"/>
      <color rgb="FFAAAAA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DejaVu Sans"/>
      <family val="2"/>
    </font>
    <font>
      <b/>
      <sz val="9"/>
      <color rgb="FFC0392B"/>
      <name val="Arial"/>
      <family val="2"/>
    </font>
    <font>
      <b/>
      <sz val="8"/>
      <color rgb="FFC0392B"/>
      <name val="Arial"/>
      <family val="2"/>
    </font>
    <font>
      <i/>
      <sz val="8"/>
      <name val="Arial"/>
      <family val="2"/>
    </font>
    <font>
      <b/>
      <sz val="10"/>
      <color rgb="FFFFFFFF"/>
      <name val="Arial"/>
      <family val="2"/>
    </font>
    <font>
      <i/>
      <sz val="8"/>
      <color rgb="FFC0392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C2333"/>
        <bgColor rgb="FF2C3E50"/>
      </patternFill>
    </fill>
    <fill>
      <patternFill patternType="solid">
        <fgColor rgb="FF2C3E50"/>
        <bgColor rgb="FF1C2333"/>
      </patternFill>
    </fill>
    <fill>
      <patternFill patternType="solid">
        <fgColor rgb="FFEAF4FB"/>
        <bgColor rgb="FFEAFAF1"/>
      </patternFill>
    </fill>
    <fill>
      <patternFill patternType="solid">
        <fgColor rgb="FFFDECEA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EAFAF1"/>
        <bgColor rgb="FFEAF4FB"/>
      </patternFill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BBBBBB"/>
      </left>
      <right style="thin">
        <color rgb="FFBBBBBB"/>
      </right>
      <top style="medium">
        <color rgb="FF555555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0" fillId="0" borderId="0" xfId="0" applyFont="1" applyAlignment="1">
      <alignment horizontal="left" vertical="center"/>
    </xf>
    <xf numFmtId="0" fontId="9" fillId="3" borderId="4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3" fontId="6" fillId="4" borderId="2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3" fontId="4" fillId="4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3" fontId="6" fillId="6" borderId="2" xfId="0" applyNumberFormat="1" applyFont="1" applyFill="1" applyBorder="1" applyAlignment="1">
      <alignment horizontal="right"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 wrapText="1"/>
    </xf>
    <xf numFmtId="3" fontId="4" fillId="6" borderId="3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vertical="center" wrapText="1"/>
    </xf>
    <xf numFmtId="3" fontId="6" fillId="6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 wrapText="1"/>
    </xf>
    <xf numFmtId="3" fontId="4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 wrapText="1"/>
    </xf>
    <xf numFmtId="3" fontId="6" fillId="7" borderId="3" xfId="0" applyNumberFormat="1" applyFont="1" applyFill="1" applyBorder="1" applyAlignment="1">
      <alignment horizontal="right" vertical="center"/>
    </xf>
    <xf numFmtId="3" fontId="4" fillId="7" borderId="3" xfId="0" applyNumberFormat="1" applyFont="1" applyFill="1" applyBorder="1" applyAlignment="1">
      <alignment horizontal="right" vertical="center"/>
    </xf>
    <xf numFmtId="0" fontId="8" fillId="7" borderId="3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3" fontId="4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 wrapText="1"/>
    </xf>
    <xf numFmtId="3" fontId="6" fillId="5" borderId="3" xfId="0" applyNumberFormat="1" applyFont="1" applyFill="1" applyBorder="1" applyAlignment="1">
      <alignment horizontal="right" vertical="center"/>
    </xf>
    <xf numFmtId="3" fontId="4" fillId="5" borderId="3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vertical="center" wrapText="1"/>
    </xf>
    <xf numFmtId="3" fontId="9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555555"/>
      <rgbColor rgb="FF999999"/>
      <rgbColor rgb="FF003366"/>
      <rgbColor rgb="FF339966"/>
      <rgbColor rgb="FF003300"/>
      <rgbColor rgb="FF1C2333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pane ySplit="4" topLeftCell="A5" activePane="bottomLeft" state="frozen"/>
      <selection pane="bottomLeft" sqref="A1:K1"/>
    </sheetView>
  </sheetViews>
  <sheetFormatPr defaultColWidth="8.7109375" defaultRowHeight="15"/>
  <cols>
    <col min="1" max="1" width="10" customWidth="1"/>
    <col min="2" max="2" width="16" customWidth="1"/>
    <col min="3" max="3" width="13" customWidth="1"/>
    <col min="4" max="4" width="16" customWidth="1"/>
    <col min="5" max="5" width="36" customWidth="1"/>
    <col min="6" max="6" width="12" customWidth="1"/>
    <col min="7" max="7" width="7" customWidth="1"/>
    <col min="8" max="8" width="13" customWidth="1"/>
    <col min="9" max="9" width="16" customWidth="1"/>
    <col min="10" max="10" width="14" customWidth="1"/>
    <col min="11" max="11" width="22" customWidth="1"/>
  </cols>
  <sheetData>
    <row r="1" spans="1:11" ht="36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9.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7.5" customHeight="1"/>
    <row r="4" spans="1:11" ht="31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18" customHeight="1">
      <c r="A5" s="6">
        <v>5</v>
      </c>
      <c r="B5" s="7" t="s">
        <v>13</v>
      </c>
      <c r="C5" s="8" t="s">
        <v>14</v>
      </c>
      <c r="D5" s="7" t="s">
        <v>15</v>
      </c>
      <c r="E5" s="9" t="s">
        <v>16</v>
      </c>
      <c r="F5" s="10">
        <v>80</v>
      </c>
      <c r="G5" s="7" t="s">
        <v>17</v>
      </c>
      <c r="H5" s="11">
        <v>220</v>
      </c>
      <c r="I5" s="10">
        <f t="shared" ref="I5:I19" si="0">F5*H5</f>
        <v>17600</v>
      </c>
      <c r="J5" s="11">
        <v>40</v>
      </c>
      <c r="K5" s="12" t="s">
        <v>18</v>
      </c>
    </row>
    <row r="6" spans="1:11" ht="18" customHeight="1">
      <c r="A6" s="13">
        <v>5</v>
      </c>
      <c r="B6" s="14" t="s">
        <v>13</v>
      </c>
      <c r="C6" s="15" t="s">
        <v>14</v>
      </c>
      <c r="D6" s="14" t="s">
        <v>19</v>
      </c>
      <c r="E6" s="16" t="s">
        <v>20</v>
      </c>
      <c r="F6" s="17">
        <v>40</v>
      </c>
      <c r="G6" s="14" t="s">
        <v>17</v>
      </c>
      <c r="H6" s="17">
        <v>85</v>
      </c>
      <c r="I6" s="17">
        <f t="shared" si="0"/>
        <v>3400</v>
      </c>
      <c r="J6" s="17">
        <v>40</v>
      </c>
      <c r="K6" s="18"/>
    </row>
    <row r="7" spans="1:11" ht="18" customHeight="1">
      <c r="A7" s="13">
        <v>5</v>
      </c>
      <c r="B7" s="14" t="s">
        <v>13</v>
      </c>
      <c r="C7" s="15" t="s">
        <v>14</v>
      </c>
      <c r="D7" s="14" t="s">
        <v>21</v>
      </c>
      <c r="E7" s="16" t="s">
        <v>22</v>
      </c>
      <c r="F7" s="17">
        <v>1</v>
      </c>
      <c r="G7" s="14" t="s">
        <v>23</v>
      </c>
      <c r="H7" s="17">
        <v>18000</v>
      </c>
      <c r="I7" s="17">
        <f t="shared" si="0"/>
        <v>18000</v>
      </c>
      <c r="J7" s="17">
        <v>1</v>
      </c>
      <c r="K7" s="18"/>
    </row>
    <row r="8" spans="1:11" ht="18" customHeight="1">
      <c r="A8" s="19">
        <v>8</v>
      </c>
      <c r="B8" s="20" t="s">
        <v>24</v>
      </c>
      <c r="C8" s="21" t="s">
        <v>25</v>
      </c>
      <c r="D8" s="20" t="s">
        <v>26</v>
      </c>
      <c r="E8" s="22" t="s">
        <v>27</v>
      </c>
      <c r="F8" s="23">
        <v>96</v>
      </c>
      <c r="G8" s="20" t="s">
        <v>17</v>
      </c>
      <c r="H8" s="24">
        <v>450</v>
      </c>
      <c r="I8" s="23">
        <f t="shared" si="0"/>
        <v>43200</v>
      </c>
      <c r="J8" s="24">
        <v>48</v>
      </c>
      <c r="K8" s="12" t="s">
        <v>28</v>
      </c>
    </row>
    <row r="9" spans="1:11" ht="18" customHeight="1">
      <c r="A9" s="25">
        <v>8</v>
      </c>
      <c r="B9" s="26" t="s">
        <v>24</v>
      </c>
      <c r="C9" s="27" t="s">
        <v>25</v>
      </c>
      <c r="D9" s="26" t="s">
        <v>15</v>
      </c>
      <c r="E9" s="28" t="s">
        <v>29</v>
      </c>
      <c r="F9" s="29">
        <v>48</v>
      </c>
      <c r="G9" s="26" t="s">
        <v>17</v>
      </c>
      <c r="H9" s="29">
        <v>280</v>
      </c>
      <c r="I9" s="29">
        <f t="shared" si="0"/>
        <v>13440</v>
      </c>
      <c r="J9" s="29">
        <v>48</v>
      </c>
      <c r="K9" s="30"/>
    </row>
    <row r="10" spans="1:11" ht="18" customHeight="1">
      <c r="A10" s="25">
        <v>8</v>
      </c>
      <c r="B10" s="26" t="s">
        <v>24</v>
      </c>
      <c r="C10" s="27" t="s">
        <v>25</v>
      </c>
      <c r="D10" s="26" t="s">
        <v>30</v>
      </c>
      <c r="E10" s="28" t="s">
        <v>31</v>
      </c>
      <c r="F10" s="31">
        <v>38</v>
      </c>
      <c r="G10" s="26" t="s">
        <v>17</v>
      </c>
      <c r="H10" s="29">
        <v>320</v>
      </c>
      <c r="I10" s="31">
        <f t="shared" si="0"/>
        <v>12160</v>
      </c>
      <c r="J10" s="29">
        <v>24</v>
      </c>
      <c r="K10" s="32" t="s">
        <v>32</v>
      </c>
    </row>
    <row r="11" spans="1:11" ht="18" customHeight="1">
      <c r="A11" s="25">
        <v>8</v>
      </c>
      <c r="B11" s="26" t="s">
        <v>24</v>
      </c>
      <c r="C11" s="27" t="s">
        <v>25</v>
      </c>
      <c r="D11" s="26" t="s">
        <v>33</v>
      </c>
      <c r="E11" s="28" t="s">
        <v>34</v>
      </c>
      <c r="F11" s="29">
        <v>1</v>
      </c>
      <c r="G11" s="26" t="s">
        <v>23</v>
      </c>
      <c r="H11" s="29">
        <v>23500</v>
      </c>
      <c r="I11" s="29">
        <f t="shared" si="0"/>
        <v>23500</v>
      </c>
      <c r="J11" s="29">
        <v>1</v>
      </c>
      <c r="K11" s="30"/>
    </row>
    <row r="12" spans="1:11" ht="18" customHeight="1">
      <c r="A12" s="33">
        <v>11</v>
      </c>
      <c r="B12" s="34" t="s">
        <v>35</v>
      </c>
      <c r="C12" s="35" t="s">
        <v>36</v>
      </c>
      <c r="D12" s="34" t="s">
        <v>37</v>
      </c>
      <c r="E12" s="36" t="s">
        <v>38</v>
      </c>
      <c r="F12" s="37">
        <v>1</v>
      </c>
      <c r="G12" s="34" t="s">
        <v>23</v>
      </c>
      <c r="H12" s="37">
        <v>64000</v>
      </c>
      <c r="I12" s="37">
        <f t="shared" si="0"/>
        <v>64000</v>
      </c>
      <c r="J12" s="37">
        <v>1</v>
      </c>
      <c r="K12" s="38"/>
    </row>
    <row r="13" spans="1:11" ht="18" customHeight="1">
      <c r="A13" s="39">
        <v>11</v>
      </c>
      <c r="B13" s="40" t="s">
        <v>35</v>
      </c>
      <c r="C13" s="41" t="s">
        <v>36</v>
      </c>
      <c r="D13" s="40" t="s">
        <v>39</v>
      </c>
      <c r="E13" s="42" t="s">
        <v>40</v>
      </c>
      <c r="F13" s="43">
        <v>44</v>
      </c>
      <c r="G13" s="40" t="s">
        <v>17</v>
      </c>
      <c r="H13" s="44">
        <v>380</v>
      </c>
      <c r="I13" s="43">
        <f t="shared" si="0"/>
        <v>16720</v>
      </c>
      <c r="J13" s="44">
        <v>22</v>
      </c>
      <c r="K13" s="32" t="s">
        <v>41</v>
      </c>
    </row>
    <row r="14" spans="1:11" ht="18" customHeight="1">
      <c r="A14" s="39">
        <v>11</v>
      </c>
      <c r="B14" s="40" t="s">
        <v>35</v>
      </c>
      <c r="C14" s="41" t="s">
        <v>36</v>
      </c>
      <c r="D14" s="40" t="s">
        <v>42</v>
      </c>
      <c r="E14" s="42" t="s">
        <v>43</v>
      </c>
      <c r="F14" s="44">
        <v>22</v>
      </c>
      <c r="G14" s="40" t="s">
        <v>17</v>
      </c>
      <c r="H14" s="44">
        <v>190</v>
      </c>
      <c r="I14" s="44">
        <f t="shared" si="0"/>
        <v>4180</v>
      </c>
      <c r="J14" s="44">
        <v>22</v>
      </c>
      <c r="K14" s="45"/>
    </row>
    <row r="15" spans="1:11" ht="18" customHeight="1">
      <c r="A15" s="39">
        <v>11</v>
      </c>
      <c r="B15" s="40" t="s">
        <v>35</v>
      </c>
      <c r="C15" s="41" t="s">
        <v>36</v>
      </c>
      <c r="D15" s="40" t="s">
        <v>44</v>
      </c>
      <c r="E15" s="42" t="s">
        <v>45</v>
      </c>
      <c r="F15" s="44">
        <v>1</v>
      </c>
      <c r="G15" s="40" t="s">
        <v>23</v>
      </c>
      <c r="H15" s="44">
        <v>5000</v>
      </c>
      <c r="I15" s="44">
        <f t="shared" si="0"/>
        <v>5000</v>
      </c>
      <c r="J15" s="44">
        <v>1</v>
      </c>
      <c r="K15" s="45"/>
    </row>
    <row r="16" spans="1:11" ht="18" customHeight="1">
      <c r="A16" s="46">
        <v>14</v>
      </c>
      <c r="B16" s="47" t="s">
        <v>46</v>
      </c>
      <c r="C16" s="48" t="s">
        <v>47</v>
      </c>
      <c r="D16" s="47" t="s">
        <v>48</v>
      </c>
      <c r="E16" s="49" t="s">
        <v>49</v>
      </c>
      <c r="F16" s="50">
        <v>1</v>
      </c>
      <c r="G16" s="47" t="s">
        <v>23</v>
      </c>
      <c r="H16" s="50">
        <v>45000</v>
      </c>
      <c r="I16" s="50">
        <f t="shared" si="0"/>
        <v>45000</v>
      </c>
      <c r="J16" s="50">
        <v>1</v>
      </c>
      <c r="K16" s="51"/>
    </row>
    <row r="17" spans="1:11" ht="18" customHeight="1">
      <c r="A17" s="52">
        <v>14</v>
      </c>
      <c r="B17" s="53" t="s">
        <v>46</v>
      </c>
      <c r="C17" s="54" t="s">
        <v>47</v>
      </c>
      <c r="D17" s="53" t="s">
        <v>50</v>
      </c>
      <c r="E17" s="55" t="s">
        <v>51</v>
      </c>
      <c r="F17" s="56">
        <v>28</v>
      </c>
      <c r="G17" s="53" t="s">
        <v>17</v>
      </c>
      <c r="H17" s="57">
        <v>780</v>
      </c>
      <c r="I17" s="56">
        <f t="shared" si="0"/>
        <v>21840</v>
      </c>
      <c r="J17" s="57">
        <v>12</v>
      </c>
      <c r="K17" s="32" t="s">
        <v>52</v>
      </c>
    </row>
    <row r="18" spans="1:11" ht="18" customHeight="1">
      <c r="A18" s="52">
        <v>14</v>
      </c>
      <c r="B18" s="53" t="s">
        <v>46</v>
      </c>
      <c r="C18" s="54" t="s">
        <v>47</v>
      </c>
      <c r="D18" s="53" t="s">
        <v>53</v>
      </c>
      <c r="E18" s="55" t="s">
        <v>54</v>
      </c>
      <c r="F18" s="57">
        <v>1</v>
      </c>
      <c r="G18" s="53" t="s">
        <v>23</v>
      </c>
      <c r="H18" s="57">
        <v>8500</v>
      </c>
      <c r="I18" s="57">
        <f t="shared" si="0"/>
        <v>8500</v>
      </c>
      <c r="J18" s="57">
        <v>1</v>
      </c>
      <c r="K18" s="58"/>
    </row>
    <row r="19" spans="1:11" ht="18" customHeight="1">
      <c r="A19" s="52">
        <v>14</v>
      </c>
      <c r="B19" s="53" t="s">
        <v>46</v>
      </c>
      <c r="C19" s="54" t="s">
        <v>47</v>
      </c>
      <c r="D19" s="53" t="s">
        <v>55</v>
      </c>
      <c r="E19" s="55" t="s">
        <v>56</v>
      </c>
      <c r="F19" s="56">
        <v>1</v>
      </c>
      <c r="G19" s="53" t="s">
        <v>23</v>
      </c>
      <c r="H19" s="57">
        <v>12000</v>
      </c>
      <c r="I19" s="56">
        <f t="shared" si="0"/>
        <v>12000</v>
      </c>
      <c r="J19" s="57">
        <v>0</v>
      </c>
      <c r="K19" s="32" t="s">
        <v>57</v>
      </c>
    </row>
    <row r="21" spans="1:11" ht="21.75" customHeight="1">
      <c r="A21" s="2" t="s">
        <v>58</v>
      </c>
      <c r="B21" s="2"/>
      <c r="C21" s="2"/>
      <c r="D21" s="2"/>
      <c r="E21" s="2"/>
      <c r="F21" s="2"/>
      <c r="G21" s="2"/>
      <c r="H21" s="2"/>
      <c r="I21" s="59">
        <f>SUM(I5:I19)</f>
        <v>308540</v>
      </c>
    </row>
    <row r="23" spans="1:11" ht="15.75" customHeight="1">
      <c r="A23" s="1" t="s">
        <v>59</v>
      </c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mergeCells count="4">
    <mergeCell ref="A1:K1"/>
    <mergeCell ref="A2:K2"/>
    <mergeCell ref="A21:H21"/>
    <mergeCell ref="A23:K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Renovation 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Dogan Can Karadas</cp:lastModifiedBy>
  <cp:revision>0</cp:revision>
  <dcterms:created xsi:type="dcterms:W3CDTF">2026-04-16T08:35:16Z</dcterms:created>
  <dcterms:modified xsi:type="dcterms:W3CDTF">2026-04-16T08:35:56Z</dcterms:modified>
  <dc:language>en-US</dc:language>
</cp:coreProperties>
</file>